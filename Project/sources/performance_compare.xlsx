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stak/Library/Mobile Documents/com~apple~CloudDocs/OTUS.RU/_Project files/sources/"/>
    </mc:Choice>
  </mc:AlternateContent>
  <xr:revisionPtr revIDLastSave="0" documentId="13_ncr:1_{76EB6415-4D21-E345-B43B-5D480FF0B6ED}" xr6:coauthVersionLast="47" xr6:coauthVersionMax="47" xr10:uidLastSave="{00000000-0000-0000-0000-000000000000}"/>
  <bookViews>
    <workbookView xWindow="0" yWindow="500" windowWidth="29040" windowHeight="17640" activeTab="1" xr2:uid="{CBD4DB0F-6838-4A47-917E-14001FC79C38}"/>
  </bookViews>
  <sheets>
    <sheet name="Лист2" sheetId="2" r:id="rId1"/>
    <sheet name="Лист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E13" i="1"/>
  <c r="F3" i="1"/>
  <c r="F4" i="1"/>
  <c r="F5" i="1"/>
  <c r="F6" i="1"/>
  <c r="F7" i="1"/>
  <c r="F8" i="1"/>
  <c r="F9" i="1"/>
  <c r="F10" i="1"/>
  <c r="F11" i="1"/>
  <c r="F12" i="1"/>
  <c r="E4" i="1"/>
  <c r="E5" i="1"/>
  <c r="E6" i="1"/>
  <c r="E7" i="1"/>
  <c r="E8" i="1"/>
  <c r="E9" i="1"/>
  <c r="E10" i="1"/>
  <c r="E11" i="1"/>
  <c r="E12" i="1"/>
  <c r="E3" i="1"/>
</calcChain>
</file>

<file path=xl/sharedStrings.xml><?xml version="1.0" encoding="utf-8"?>
<sst xmlns="http://schemas.openxmlformats.org/spreadsheetml/2006/main" count="36" uniqueCount="28">
  <si>
    <t>Description</t>
  </si>
  <si>
    <t>start</t>
  </si>
  <si>
    <t>77233 TechAct rows found.</t>
  </si>
  <si>
    <t>57190 LeaseAct rows found.</t>
  </si>
  <si>
    <t>7207437 TechData rows found.</t>
  </si>
  <si>
    <t>datetill calc started.</t>
  </si>
  <si>
    <t>techdata calc started.</t>
  </si>
  <si>
    <t>techdata calc completed.</t>
  </si>
  <si>
    <t>0 expired rows deleted.</t>
  </si>
  <si>
    <t>7341860 rows cached.</t>
  </si>
  <si>
    <t>Completed.</t>
  </si>
  <si>
    <t>7264592 rows proceeded,  last step #1192</t>
  </si>
  <si>
    <t>Operation</t>
  </si>
  <si>
    <t>DECLARE, CREATE TEMP TABLE</t>
  </si>
  <si>
    <t>INSERT</t>
  </si>
  <si>
    <t>UPDATE</t>
  </si>
  <si>
    <t>DELETE</t>
  </si>
  <si>
    <t>RAISE NOTICE</t>
  </si>
  <si>
    <t>PostgreSQL Date</t>
  </si>
  <si>
    <t>PostgreSQL Duration, sec</t>
  </si>
  <si>
    <t>MSSQL Date</t>
  </si>
  <si>
    <t>MSSQL Duration, sec</t>
  </si>
  <si>
    <t>Названия строк</t>
  </si>
  <si>
    <t>Общий итог</t>
  </si>
  <si>
    <t>Total PostgreSQL Duration</t>
  </si>
  <si>
    <t>Total MSSQL Duration</t>
  </si>
  <si>
    <t>UPDATE (SELF-JOIN)</t>
  </si>
  <si>
    <t>UPDATE (WHILE LOOP SELF-JOIN)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</si>
</sst>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[h]:mm:ss;@"/>
    <numFmt numFmtId="166" formatCode="d:h:mm:ss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Обычный" xfId="0" builtinId="0"/>
  </cellStyles>
  <dxfs count="8">
    <dxf>
      <numFmt numFmtId="166" formatCode="d:h:mm:ss"/>
    </dxf>
    <dxf>
      <numFmt numFmtId="166" formatCode="d:h:mm:ss"/>
    </dxf>
    <dxf>
      <numFmt numFmtId="164" formatCode="dd/mm/yyyy\ hh:mm:ss"/>
    </dxf>
    <dxf>
      <numFmt numFmtId="164" formatCode="dd/mm/yyyy\ hh:mm:ss"/>
    </dxf>
    <dxf>
      <numFmt numFmtId="166" formatCode="d:h:mm:ss"/>
    </dxf>
    <dxf>
      <numFmt numFmtId="166" formatCode="d:h:mm:ss"/>
    </dxf>
    <dxf>
      <numFmt numFmtId="164" formatCode="dd/mm/yyyy\ hh:mm:ss"/>
    </dxf>
    <dxf>
      <numFmt numFmtId="164" formatCode="dd/mm/yyyy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[performance_compare.xlsx]Лист2!Сводная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Total PostgreSQL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Лист2!$A$2:$A$6</c:f>
              <c:strCache>
                <c:ptCount val="4"/>
                <c:pt idx="0">
                  <c:v>INSERT</c:v>
                </c:pt>
                <c:pt idx="1">
                  <c:v>UPDATE</c:v>
                </c:pt>
                <c:pt idx="2">
                  <c:v>UPDATE (SELF-JOIN)</c:v>
                </c:pt>
                <c:pt idx="3">
                  <c:v>UPDATE (WHILE LOOP SELF-JOIN)</c:v>
                </c:pt>
              </c:strCache>
            </c:strRef>
          </c:cat>
          <c:val>
            <c:numRef>
              <c:f>Лист2!$B$2:$B$6</c:f>
              <c:numCache>
                <c:formatCode>[h]:mm:ss;@</c:formatCode>
                <c:ptCount val="4"/>
                <c:pt idx="0">
                  <c:v>2.0497685185185185E-2</c:v>
                </c:pt>
                <c:pt idx="1">
                  <c:v>9.7916666666666673E-3</c:v>
                </c:pt>
                <c:pt idx="2">
                  <c:v>1.5972222222222223E-3</c:v>
                </c:pt>
                <c:pt idx="3">
                  <c:v>2.4602777777777778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C-4783-B4D2-280A721C0299}"/>
            </c:ext>
          </c:extLst>
        </c:ser>
        <c:ser>
          <c:idx val="1"/>
          <c:order val="1"/>
          <c:tx>
            <c:strRef>
              <c:f>Лист2!$C$1</c:f>
              <c:strCache>
                <c:ptCount val="1"/>
                <c:pt idx="0">
                  <c:v>Total MSSQL 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Лист2!$A$2:$A$6</c:f>
              <c:strCache>
                <c:ptCount val="4"/>
                <c:pt idx="0">
                  <c:v>INSERT</c:v>
                </c:pt>
                <c:pt idx="1">
                  <c:v>UPDATE</c:v>
                </c:pt>
                <c:pt idx="2">
                  <c:v>UPDATE (SELF-JOIN)</c:v>
                </c:pt>
                <c:pt idx="3">
                  <c:v>UPDATE (WHILE LOOP SELF-JOIN)</c:v>
                </c:pt>
              </c:strCache>
            </c:strRef>
          </c:cat>
          <c:val>
            <c:numRef>
              <c:f>Лист2!$C$2:$C$6</c:f>
              <c:numCache>
                <c:formatCode>[h]:mm:ss;@</c:formatCode>
                <c:ptCount val="4"/>
                <c:pt idx="0">
                  <c:v>4.1840277777777782E-2</c:v>
                </c:pt>
                <c:pt idx="1">
                  <c:v>1.4826388888888889E-2</c:v>
                </c:pt>
                <c:pt idx="2">
                  <c:v>4.2129629629629626E-3</c:v>
                </c:pt>
                <c:pt idx="3">
                  <c:v>1.0379282407407406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DC-4783-B4D2-280A721C029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527267471"/>
        <c:axId val="527269871"/>
        <c:axId val="0"/>
      </c:bar3DChart>
      <c:catAx>
        <c:axId val="5272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269871"/>
        <c:crosses val="autoZero"/>
        <c:auto val="1"/>
        <c:lblAlgn val="ctr"/>
        <c:lblOffset val="100"/>
        <c:noMultiLvlLbl val="0"/>
      </c:catAx>
      <c:valAx>
        <c:axId val="527269871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52726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981075</xdr:colOff>
      <xdr:row>7</xdr:row>
      <xdr:rowOff>133349</xdr:rowOff>
    </xdr:from>
    <xdr:to>
      <xdr:col>9</xdr:col>
      <xdr:colOff>0</xdr:colOff>
      <xdr:row>24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7420ABA-4346-5C34-CB85-F5C05E98A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znetsov, Konstantin" refreshedDate="46057.612982523147" createdVersion="8" refreshedVersion="8" minRefreshableVersion="3" recordCount="11" xr:uid="{10652346-9490-4F1D-90F9-DEDD8748524E}">
  <cacheSource type="worksheet">
    <worksheetSource ref="D1:F12" sheet="Лист1"/>
  </cacheSource>
  <cacheFields count="7">
    <cacheField name="Operation" numFmtId="0">
      <sharedItems count="11">
        <s v="DECLARE, CREATE TEMP TABLE"/>
        <s v="INSERT"/>
        <s v="UPDATE (SELF-JOIN)"/>
        <s v="UPDATE (WHILE LOOP SELF-JOIN)"/>
        <s v="UPDATE"/>
        <s v="DELETE"/>
        <s v="RAISE NOTICE"/>
        <s v="UPDATE ON JOIN" u="1"/>
        <s v="UPDATE ON JOIN (WHILE LOOP)" u="1"/>
        <s v="UPDATE on SAME TABLE" u="1"/>
        <s v="UPDATE (WHILE LOOP)" u="1"/>
      </sharedItems>
    </cacheField>
    <cacheField name="PostgreSQL Duration, sec" numFmtId="0">
      <sharedItems containsNonDate="0" containsDate="1" containsString="0" containsBlank="1" minDate="1899-12-30T00:00:00" maxDate="1900-01-01T11:02:48" count="11">
        <m/>
        <d v="1899-12-30T00:00:02"/>
        <d v="1899-12-30T00:00:01"/>
        <d v="1899-12-30T00:00:43"/>
        <d v="1899-12-30T00:02:38"/>
        <d v="1899-12-30T00:02:18"/>
        <d v="1900-01-01T11:02:48"/>
        <d v="1899-12-30T00:14:06"/>
        <d v="1899-12-30T00:00:00"/>
        <d v="1899-12-30T00:26:07"/>
        <d v="1899-12-30T00:00:07"/>
      </sharedItems>
      <fieldGroup par="6"/>
    </cacheField>
    <cacheField name="MSSQL Duration, sec" numFmtId="0">
      <sharedItems containsNonDate="0" containsDate="1" containsString="0" containsBlank="1" minDate="1899-12-30T00:00:00" maxDate="1899-12-31T00:54:37"/>
    </cacheField>
    <cacheField name="Секунды (PostgreSQL Duration, sec)" numFmtId="0" databaseField="0">
      <fieldGroup base="1">
        <rangePr groupBy="seconds" startDate="1899-12-30T00:00:00" endDate="1900-01-01T11:02:48"/>
        <groupItems count="62">
          <s v="&lt;00.01.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2.01.1900"/>
        </groupItems>
      </fieldGroup>
    </cacheField>
    <cacheField name="Минуты (PostgreSQL Duration, sec)" numFmtId="0" databaseField="0">
      <fieldGroup base="1">
        <rangePr groupBy="minutes" startDate="1899-12-30T00:00:00" endDate="1900-01-01T11:02:48"/>
        <groupItems count="62">
          <s v="&lt;00.01.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2.01.1900"/>
        </groupItems>
      </fieldGroup>
    </cacheField>
    <cacheField name="Часы (PostgreSQL Duration, sec)" numFmtId="0" databaseField="0">
      <fieldGroup base="1">
        <rangePr groupBy="hours" startDate="1899-12-30T00:00:00" endDate="1900-01-01T11:02:48"/>
        <groupItems count="26">
          <s v="&lt;00.01.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2.01.1900"/>
        </groupItems>
      </fieldGroup>
    </cacheField>
    <cacheField name="Дни (PostgreSQL Duration, sec)" numFmtId="0" databaseField="0">
      <fieldGroup base="1">
        <rangePr groupBy="days" startDate="1899-12-30T00:00:00" endDate="1900-01-01T11:02:48"/>
        <groupItems count="368">
          <s v="&lt;00.01.190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р"/>
          <s v="02.февр"/>
          <s v="03.февр"/>
          <s v="04.февр"/>
          <s v="05.февр"/>
          <s v="06.февр"/>
          <s v="07.февр"/>
          <s v="08.февр"/>
          <s v="09.февр"/>
          <s v="10.февр"/>
          <s v="11.февр"/>
          <s v="12.февр"/>
          <s v="13.февр"/>
          <s v="14.февр"/>
          <s v="15.февр"/>
          <s v="16.февр"/>
          <s v="17.февр"/>
          <s v="18.февр"/>
          <s v="19.февр"/>
          <s v="20.февр"/>
          <s v="21.февр"/>
          <s v="22.февр"/>
          <s v="23.февр"/>
          <s v="24.февр"/>
          <s v="25.февр"/>
          <s v="26.февр"/>
          <s v="27.февр"/>
          <s v="28.февр"/>
          <s v="29.февр"/>
          <s v="01.март"/>
          <s v="02.март"/>
          <s v="03.март"/>
          <s v="04.март"/>
          <s v="05.март"/>
          <s v="06.март"/>
          <s v="07.март"/>
          <s v="08.март"/>
          <s v="09.март"/>
          <s v="10.март"/>
          <s v="11.март"/>
          <s v="12.март"/>
          <s v="13.март"/>
          <s v="14.март"/>
          <s v="15.март"/>
          <s v="16.март"/>
          <s v="17.март"/>
          <s v="18.март"/>
          <s v="19.март"/>
          <s v="20.март"/>
          <s v="21.март"/>
          <s v="22.март"/>
          <s v="23.март"/>
          <s v="24.март"/>
          <s v="25.март"/>
          <s v="26.март"/>
          <s v="27.март"/>
          <s v="28.март"/>
          <s v="29.март"/>
          <s v="30.март"/>
          <s v="31.март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ь"/>
          <s v="02.июнь"/>
          <s v="03.июнь"/>
          <s v="04.июнь"/>
          <s v="05.июнь"/>
          <s v="06.июнь"/>
          <s v="07.июнь"/>
          <s v="08.июнь"/>
          <s v="09.июнь"/>
          <s v="10.июнь"/>
          <s v="11.июнь"/>
          <s v="12.июнь"/>
          <s v="13.июнь"/>
          <s v="14.июнь"/>
          <s v="15.июнь"/>
          <s v="16.июнь"/>
          <s v="17.июнь"/>
          <s v="18.июнь"/>
          <s v="19.июнь"/>
          <s v="20.июнь"/>
          <s v="21.июнь"/>
          <s v="22.июнь"/>
          <s v="23.июнь"/>
          <s v="24.июнь"/>
          <s v="25.июнь"/>
          <s v="26.июнь"/>
          <s v="27.июнь"/>
          <s v="28.июнь"/>
          <s v="29.июнь"/>
          <s v="30.июнь"/>
          <s v="01.июль"/>
          <s v="02.июль"/>
          <s v="03.июль"/>
          <s v="04.июль"/>
          <s v="05.июль"/>
          <s v="06.июль"/>
          <s v="07.июль"/>
          <s v="08.июль"/>
          <s v="09.июль"/>
          <s v="10.июль"/>
          <s v="11.июль"/>
          <s v="12.июль"/>
          <s v="13.июль"/>
          <s v="14.июль"/>
          <s v="15.июль"/>
          <s v="16.июль"/>
          <s v="17.июль"/>
          <s v="18.июль"/>
          <s v="19.июль"/>
          <s v="20.июль"/>
          <s v="21.июль"/>
          <s v="22.июль"/>
          <s v="23.июль"/>
          <s v="24.июль"/>
          <s v="25.июль"/>
          <s v="26.июль"/>
          <s v="27.июль"/>
          <s v="28.июль"/>
          <s v="29.июль"/>
          <s v="30.июль"/>
          <s v="31.июль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т"/>
          <s v="02.сент"/>
          <s v="03.сент"/>
          <s v="04.сент"/>
          <s v="05.сент"/>
          <s v="06.сент"/>
          <s v="07.сент"/>
          <s v="08.сент"/>
          <s v="09.сент"/>
          <s v="10.сент"/>
          <s v="11.сент"/>
          <s v="12.сент"/>
          <s v="13.сент"/>
          <s v="14.сент"/>
          <s v="15.сент"/>
          <s v="16.сент"/>
          <s v="17.сент"/>
          <s v="18.сент"/>
          <s v="19.сент"/>
          <s v="20.сент"/>
          <s v="21.сент"/>
          <s v="22.сент"/>
          <s v="23.сент"/>
          <s v="24.сент"/>
          <s v="25.сент"/>
          <s v="26.сент"/>
          <s v="27.сент"/>
          <s v="28.сент"/>
          <s v="29.сент"/>
          <s v="30.сент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б"/>
          <s v="02.нояб"/>
          <s v="03.нояб"/>
          <s v="04.нояб"/>
          <s v="05.нояб"/>
          <s v="06.нояб"/>
          <s v="07.нояб"/>
          <s v="08.нояб"/>
          <s v="09.нояб"/>
          <s v="10.нояб"/>
          <s v="11.нояб"/>
          <s v="12.нояб"/>
          <s v="13.нояб"/>
          <s v="14.нояб"/>
          <s v="15.нояб"/>
          <s v="16.нояб"/>
          <s v="17.нояб"/>
          <s v="18.нояб"/>
          <s v="19.нояб"/>
          <s v="20.нояб"/>
          <s v="21.нояб"/>
          <s v="22.нояб"/>
          <s v="23.нояб"/>
          <s v="24.нояб"/>
          <s v="25.нояб"/>
          <s v="26.нояб"/>
          <s v="27.нояб"/>
          <s v="28.нояб"/>
          <s v="29.нояб"/>
          <s v="30.нояб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1.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m/>
  </r>
  <r>
    <x v="1"/>
    <x v="1"/>
    <d v="1899-12-30T00:00:01"/>
  </r>
  <r>
    <x v="1"/>
    <x v="2"/>
    <d v="1899-12-30T00:00:01"/>
  </r>
  <r>
    <x v="1"/>
    <x v="3"/>
    <d v="1899-12-30T00:01:20"/>
  </r>
  <r>
    <x v="1"/>
    <x v="4"/>
    <d v="1899-12-30T00:19:52"/>
  </r>
  <r>
    <x v="2"/>
    <x v="5"/>
    <d v="1899-12-30T00:06:04"/>
  </r>
  <r>
    <x v="3"/>
    <x v="6"/>
    <d v="1899-12-31T00:54:37"/>
  </r>
  <r>
    <x v="4"/>
    <x v="7"/>
    <d v="1899-12-30T00:21:21"/>
  </r>
  <r>
    <x v="5"/>
    <x v="8"/>
    <d v="1899-12-30T00:00:01"/>
  </r>
  <r>
    <x v="1"/>
    <x v="9"/>
    <d v="1899-12-30T00:39:01"/>
  </r>
  <r>
    <x v="6"/>
    <x v="10"/>
    <d v="1899-12-30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BFB6E-C7BE-4C78-BEDD-7E6E11C4F7C0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6">
  <location ref="A1:C6" firstHeaderRow="0" firstDataRow="1" firstDataCol="1"/>
  <pivotFields count="7">
    <pivotField axis="axisRow" showAll="0">
      <items count="12">
        <item h="1" x="0"/>
        <item h="1" x="5"/>
        <item x="1"/>
        <item h="1" x="6"/>
        <item x="4"/>
        <item m="1" x="10"/>
        <item m="1" x="9"/>
        <item h="1" m="1" x="7"/>
        <item h="1" m="1" x="8"/>
        <item x="2"/>
        <item x="3"/>
        <item t="default"/>
      </items>
    </pivotField>
    <pivotField dataField="1" showAll="0">
      <items count="12">
        <item x="8"/>
        <item x="2"/>
        <item x="1"/>
        <item x="10"/>
        <item x="3"/>
        <item x="5"/>
        <item x="4"/>
        <item x="7"/>
        <item x="9"/>
        <item x="6"/>
        <item x="0"/>
        <item t="default"/>
      </items>
    </pivotField>
    <pivotField dataField="1"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t="default"/>
      </items>
    </pivotField>
  </pivotFields>
  <rowFields count="1">
    <field x="0"/>
  </rowFields>
  <rowItems count="5">
    <i>
      <x v="2"/>
    </i>
    <i>
      <x v="4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ostgreSQL Duration" fld="1" baseField="0" baseItem="0" numFmtId="165"/>
    <dataField name="Total MSSQL Duration" fld="2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C48ADA-7D29-8D44-94DF-6E6B52B72306}" name="Таблица1" displayName="Таблица1" ref="A1:F13" totalsRowCount="1">
  <autoFilter ref="A1:F12" xr:uid="{12C48ADA-7D29-8D44-94DF-6E6B52B72306}"/>
  <tableColumns count="6">
    <tableColumn id="1" xr3:uid="{2E6B244A-7B12-7A4B-A7D6-5594484E0976}" name="PostgreSQL Date" dataDxfId="7" totalsRowDxfId="3"/>
    <tableColumn id="2" xr3:uid="{C8CF01DE-6B46-7D41-BD02-96E764511720}" name="MSSQL Date" dataDxfId="6" totalsRowDxfId="2"/>
    <tableColumn id="3" xr3:uid="{A8ADA0E6-8C16-4E4E-8708-8C8C660A97BC}" name="Description"/>
    <tableColumn id="4" xr3:uid="{5C850FA3-C5AA-304D-87B8-A4E5DAD1F74B}" name="Operation"/>
    <tableColumn id="5" xr3:uid="{A3BEF6A2-D359-1C4F-8883-0720D2F9C9D9}" name="PostgreSQL Duration, sec" totalsRowFunction="sum" dataDxfId="5" totalsRowDxfId="1">
      <calculatedColumnFormula>A2-A1</calculatedColumnFormula>
    </tableColumn>
    <tableColumn id="6" xr3:uid="{AFF8E5BB-EEE4-2140-ABA4-C42FDE246630}" name="MSSQL Duration, sec" totalsRowFunction="sum" dataDxfId="4" totalsRowDxfId="0">
      <calculatedColumnFormula>B2-B1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1ED0-C798-479D-87EB-F948E157D377}">
  <dimension ref="A1:C6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26" bestFit="1" customWidth="1"/>
    <col min="2" max="2" width="21.6640625" bestFit="1" customWidth="1"/>
    <col min="3" max="3" width="18.1640625" bestFit="1" customWidth="1"/>
  </cols>
  <sheetData>
    <row r="1" spans="1:3" x14ac:dyDescent="0.2">
      <c r="A1" s="4" t="s">
        <v>22</v>
      </c>
      <c r="B1" t="s">
        <v>24</v>
      </c>
      <c r="C1" t="s">
        <v>25</v>
      </c>
    </row>
    <row r="2" spans="1:3" x14ac:dyDescent="0.2">
      <c r="A2" s="5" t="s">
        <v>14</v>
      </c>
      <c r="B2" s="2">
        <v>2.0497685185185185E-2</v>
      </c>
      <c r="C2" s="2">
        <v>4.1840277777777782E-2</v>
      </c>
    </row>
    <row r="3" spans="1:3" x14ac:dyDescent="0.2">
      <c r="A3" s="5" t="s">
        <v>15</v>
      </c>
      <c r="B3" s="2">
        <v>9.7916666666666673E-3</v>
      </c>
      <c r="C3" s="2">
        <v>1.4826388888888889E-2</v>
      </c>
    </row>
    <row r="4" spans="1:3" x14ac:dyDescent="0.2">
      <c r="A4" s="5" t="s">
        <v>26</v>
      </c>
      <c r="B4" s="2">
        <v>1.5972222222222223E-3</v>
      </c>
      <c r="C4" s="2">
        <v>4.2129629629629626E-3</v>
      </c>
    </row>
    <row r="5" spans="1:3" x14ac:dyDescent="0.2">
      <c r="A5" s="5" t="s">
        <v>27</v>
      </c>
      <c r="B5" s="2">
        <v>2.4602777777777778</v>
      </c>
      <c r="C5" s="2">
        <v>1.0379282407407406</v>
      </c>
    </row>
    <row r="6" spans="1:3" x14ac:dyDescent="0.2">
      <c r="A6" s="5" t="s">
        <v>23</v>
      </c>
      <c r="B6" s="2">
        <v>2.4921643518518519</v>
      </c>
      <c r="C6" s="2">
        <v>1.0988078703703703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9773-D12F-4787-9039-687F4BB646AA}">
  <dimension ref="A1:F13"/>
  <sheetViews>
    <sheetView tabSelected="1" workbookViewId="0">
      <selection activeCell="B20" sqref="B20"/>
    </sheetView>
  </sheetViews>
  <sheetFormatPr baseColWidth="10" defaultColWidth="8.83203125" defaultRowHeight="15" x14ac:dyDescent="0.2"/>
  <cols>
    <col min="1" max="2" width="18" bestFit="1" customWidth="1"/>
    <col min="3" max="3" width="38" bestFit="1" customWidth="1"/>
    <col min="4" max="4" width="38" customWidth="1"/>
    <col min="5" max="5" width="23.5" bestFit="1" customWidth="1"/>
    <col min="6" max="6" width="19.33203125" bestFit="1" customWidth="1"/>
  </cols>
  <sheetData>
    <row r="1" spans="1:6" x14ac:dyDescent="0.2">
      <c r="A1" t="s">
        <v>18</v>
      </c>
      <c r="B1" t="s">
        <v>20</v>
      </c>
      <c r="C1" t="s">
        <v>0</v>
      </c>
      <c r="D1" t="s">
        <v>12</v>
      </c>
      <c r="E1" t="s">
        <v>19</v>
      </c>
      <c r="F1" t="s">
        <v>21</v>
      </c>
    </row>
    <row r="2" spans="1:6" x14ac:dyDescent="0.2">
      <c r="A2" s="1">
        <v>46040.894976851851</v>
      </c>
      <c r="B2" s="1">
        <v>46055.371400462966</v>
      </c>
      <c r="C2" t="s">
        <v>1</v>
      </c>
      <c r="D2" t="s">
        <v>13</v>
      </c>
    </row>
    <row r="3" spans="1:6" x14ac:dyDescent="0.2">
      <c r="A3" s="1">
        <v>46040.894999999997</v>
      </c>
      <c r="B3" s="1">
        <v>46055.371412037035</v>
      </c>
      <c r="C3" t="s">
        <v>2</v>
      </c>
      <c r="D3" t="s">
        <v>14</v>
      </c>
      <c r="E3" s="3">
        <f>A3-A2</f>
        <v>2.314814628334716E-5</v>
      </c>
      <c r="F3" s="3">
        <f>B3-B2</f>
        <v>1.1574069503694773E-5</v>
      </c>
    </row>
    <row r="4" spans="1:6" x14ac:dyDescent="0.2">
      <c r="A4" s="1">
        <v>46040.895011574074</v>
      </c>
      <c r="B4" s="1">
        <v>46055.371423611112</v>
      </c>
      <c r="C4" t="s">
        <v>3</v>
      </c>
      <c r="D4" t="s">
        <v>14</v>
      </c>
      <c r="E4" s="3">
        <f t="shared" ref="E4:F12" si="0">A4-A3</f>
        <v>1.1574076779652387E-5</v>
      </c>
      <c r="F4" s="3">
        <f t="shared" si="0"/>
        <v>1.1574076779652387E-5</v>
      </c>
    </row>
    <row r="5" spans="1:6" x14ac:dyDescent="0.2">
      <c r="A5" s="1">
        <v>46040.895509259259</v>
      </c>
      <c r="B5" s="1">
        <v>46055.372349537036</v>
      </c>
      <c r="C5" t="s">
        <v>4</v>
      </c>
      <c r="D5" t="s">
        <v>14</v>
      </c>
      <c r="E5" s="3">
        <f t="shared" si="0"/>
        <v>4.9768518510973081E-4</v>
      </c>
      <c r="F5" s="3">
        <f t="shared" si="0"/>
        <v>9.2592592409346253E-4</v>
      </c>
    </row>
    <row r="6" spans="1:6" x14ac:dyDescent="0.2">
      <c r="A6" s="1">
        <v>46040.897337962961</v>
      </c>
      <c r="B6" s="1">
        <v>46055.386145833334</v>
      </c>
      <c r="C6" t="s">
        <v>5</v>
      </c>
      <c r="D6" t="s">
        <v>14</v>
      </c>
      <c r="E6" s="3">
        <f t="shared" si="0"/>
        <v>1.8287037019035779E-3</v>
      </c>
      <c r="F6" s="3">
        <f t="shared" si="0"/>
        <v>1.3796296298096422E-2</v>
      </c>
    </row>
    <row r="7" spans="1:6" x14ac:dyDescent="0.2">
      <c r="A7" s="1">
        <v>46040.898935185185</v>
      </c>
      <c r="B7" s="1">
        <v>46055.3903587963</v>
      </c>
      <c r="C7" t="s">
        <v>6</v>
      </c>
      <c r="D7" t="s">
        <v>26</v>
      </c>
      <c r="E7" s="3">
        <f t="shared" si="0"/>
        <v>1.5972222245181911E-3</v>
      </c>
      <c r="F7" s="3">
        <f t="shared" si="0"/>
        <v>4.2129629655391909E-3</v>
      </c>
    </row>
    <row r="8" spans="1:6" x14ac:dyDescent="0.2">
      <c r="A8" s="1">
        <v>46043.359212962961</v>
      </c>
      <c r="B8" s="1">
        <v>46056.428287037037</v>
      </c>
      <c r="C8" t="s">
        <v>11</v>
      </c>
      <c r="D8" t="s">
        <v>27</v>
      </c>
      <c r="E8" s="3">
        <f t="shared" si="0"/>
        <v>2.4602777777763549</v>
      </c>
      <c r="F8" s="3">
        <f t="shared" si="0"/>
        <v>1.0379282407375285</v>
      </c>
    </row>
    <row r="9" spans="1:6" x14ac:dyDescent="0.2">
      <c r="A9" s="1">
        <v>46043.369004629632</v>
      </c>
      <c r="B9" s="1">
        <v>46056.443113425928</v>
      </c>
      <c r="C9" t="s">
        <v>7</v>
      </c>
      <c r="D9" t="s">
        <v>15</v>
      </c>
      <c r="E9" s="3">
        <f t="shared" si="0"/>
        <v>9.7916666709352285E-3</v>
      </c>
      <c r="F9" s="3">
        <f t="shared" si="0"/>
        <v>1.4826388891378883E-2</v>
      </c>
    </row>
    <row r="10" spans="1:6" x14ac:dyDescent="0.2">
      <c r="A10" s="1">
        <v>46043.369004629632</v>
      </c>
      <c r="B10" s="1">
        <v>46056.443124999998</v>
      </c>
      <c r="C10" t="s">
        <v>8</v>
      </c>
      <c r="D10" t="s">
        <v>16</v>
      </c>
      <c r="E10" s="3">
        <f t="shared" si="0"/>
        <v>0</v>
      </c>
      <c r="F10" s="3">
        <f t="shared" si="0"/>
        <v>1.1574069503694773E-5</v>
      </c>
    </row>
    <row r="11" spans="1:6" x14ac:dyDescent="0.2">
      <c r="A11" s="1">
        <v>46043.387141203704</v>
      </c>
      <c r="B11" s="1">
        <v>46056.470219907409</v>
      </c>
      <c r="C11" t="s">
        <v>9</v>
      </c>
      <c r="D11" t="s">
        <v>14</v>
      </c>
      <c r="E11" s="3">
        <f t="shared" si="0"/>
        <v>1.8136574071832001E-2</v>
      </c>
      <c r="F11" s="3">
        <f t="shared" si="0"/>
        <v>2.7094907411083113E-2</v>
      </c>
    </row>
    <row r="12" spans="1:6" x14ac:dyDescent="0.2">
      <c r="A12" s="1">
        <v>46043.38722222222</v>
      </c>
      <c r="B12" s="1">
        <v>46056.470219907409</v>
      </c>
      <c r="C12" t="s">
        <v>10</v>
      </c>
      <c r="D12" t="s">
        <v>17</v>
      </c>
      <c r="E12" s="3">
        <f t="shared" si="0"/>
        <v>8.1018515629693866E-5</v>
      </c>
      <c r="F12" s="3">
        <f t="shared" si="0"/>
        <v>0</v>
      </c>
    </row>
    <row r="13" spans="1:6" x14ac:dyDescent="0.2">
      <c r="A13" s="1"/>
      <c r="B13" s="1"/>
      <c r="E13" s="3">
        <f>SUBTOTAL(109,Таблица1[PostgreSQL Duration, sec])</f>
        <v>2.4922453703693463</v>
      </c>
      <c r="F13" s="3">
        <f>SUBTOTAL(109,Таблица1[MSSQL Duration, sec])</f>
        <v>1.0988194444435067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Кузнецов К.</dc:creator>
  <cp:lastModifiedBy>Kuznetsov, Konstantin</cp:lastModifiedBy>
  <dcterms:created xsi:type="dcterms:W3CDTF">2026-02-04T06:59:10Z</dcterms:created>
  <dcterms:modified xsi:type="dcterms:W3CDTF">2026-02-04T20:00:42Z</dcterms:modified>
</cp:coreProperties>
</file>